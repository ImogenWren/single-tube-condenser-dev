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heard\Documents\0000-remote-labs\000-research-development\single-tube-condenser\documents\"/>
    </mc:Choice>
  </mc:AlternateContent>
  <xr:revisionPtr revIDLastSave="0" documentId="13_ncr:1_{8A35C00C-74B1-432A-A48F-40C99BB9EB87}" xr6:coauthVersionLast="47" xr6:coauthVersionMax="47" xr10:uidLastSave="{00000000-0000-0000-0000-000000000000}"/>
  <bookViews>
    <workbookView xWindow="-120" yWindow="-120" windowWidth="29040" windowHeight="17640" xr2:uid="{C612C544-78C3-4963-90FC-4768420C63D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1" l="1"/>
  <c r="H18" i="1"/>
  <c r="H19" i="1"/>
  <c r="H20" i="1"/>
  <c r="H21" i="1"/>
  <c r="H17" i="1"/>
  <c r="H13" i="1"/>
  <c r="H14" i="1"/>
  <c r="H12" i="1"/>
  <c r="H10" i="1"/>
  <c r="H11" i="1"/>
  <c r="H9" i="1"/>
  <c r="P10" i="1"/>
  <c r="P11" i="1"/>
  <c r="P9" i="1"/>
  <c r="H8" i="1"/>
  <c r="H7" i="1"/>
  <c r="F5" i="1"/>
  <c r="H5" i="1"/>
  <c r="P5" i="1"/>
</calcChain>
</file>

<file path=xl/sharedStrings.xml><?xml version="1.0" encoding="utf-8"?>
<sst xmlns="http://schemas.openxmlformats.org/spreadsheetml/2006/main" count="44" uniqueCount="23">
  <si>
    <t>Power Supply Spec Calculator</t>
  </si>
  <si>
    <t>Item</t>
  </si>
  <si>
    <t>Voltage Bus</t>
  </si>
  <si>
    <t>24v PSU</t>
  </si>
  <si>
    <t>AC?DC</t>
  </si>
  <si>
    <t>AC</t>
  </si>
  <si>
    <t>Current Out (A)</t>
  </si>
  <si>
    <t>Power Out (W)</t>
  </si>
  <si>
    <t>Voltage Out (V)</t>
  </si>
  <si>
    <t>DC</t>
  </si>
  <si>
    <t>ADAM 6024</t>
  </si>
  <si>
    <t>-</t>
  </si>
  <si>
    <t>Power In (W)</t>
  </si>
  <si>
    <t>Current In (A)</t>
  </si>
  <si>
    <t>ADAM 6018</t>
  </si>
  <si>
    <t>DC-DC 10v buck</t>
  </si>
  <si>
    <t>Efficiency (sometimes estimated)</t>
  </si>
  <si>
    <t>DC-DC 5v buck Rpi</t>
  </si>
  <si>
    <t>DC-DC 5v buck switch</t>
  </si>
  <si>
    <t>SPST relay</t>
  </si>
  <si>
    <t>DPDT Relay</t>
  </si>
  <si>
    <t>LED indicator</t>
  </si>
  <si>
    <t>24v Bus Sum: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</si>
</sst>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20"/>
      <color rgb="FFFF33CC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38F40C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8F40C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E8023-4E0E-4DCA-95A6-C59C45BE5E10}">
  <sheetPr codeName="Sheet1"/>
  <dimension ref="B1:P23"/>
  <sheetViews>
    <sheetView tabSelected="1" workbookViewId="0">
      <selection activeCell="H10" sqref="H10"/>
    </sheetView>
  </sheetViews>
  <sheetFormatPr defaultRowHeight="15" x14ac:dyDescent="0.25"/>
  <cols>
    <col min="1" max="1" width="9.140625" style="2"/>
    <col min="2" max="2" width="11.42578125" style="2" bestFit="1" customWidth="1"/>
    <col min="3" max="3" width="9.140625" style="2"/>
    <col min="4" max="4" width="20" style="2" bestFit="1" customWidth="1"/>
    <col min="5" max="5" width="9.140625" style="2"/>
    <col min="6" max="6" width="14.7109375" style="2" bestFit="1" customWidth="1"/>
    <col min="7" max="9" width="9.140625" style="2"/>
    <col min="10" max="10" width="14.85546875" style="2" bestFit="1" customWidth="1"/>
    <col min="11" max="11" width="10.42578125" style="2" bestFit="1" customWidth="1"/>
    <col min="12" max="12" width="14.7109375" style="2" bestFit="1" customWidth="1"/>
    <col min="13" max="13" width="9.140625" style="2"/>
    <col min="14" max="14" width="14.28515625" style="2" bestFit="1" customWidth="1"/>
    <col min="15" max="16384" width="9.140625" style="2"/>
  </cols>
  <sheetData>
    <row r="1" spans="2:16" x14ac:dyDescent="0.25">
      <c r="D1" s="1" t="s">
        <v>0</v>
      </c>
      <c r="E1" s="1"/>
      <c r="F1" s="1"/>
      <c r="G1" s="1"/>
      <c r="H1" s="1"/>
      <c r="I1" s="1"/>
    </row>
    <row r="2" spans="2:16" x14ac:dyDescent="0.25">
      <c r="D2" s="1"/>
      <c r="E2" s="1"/>
      <c r="F2" s="1"/>
      <c r="G2" s="1"/>
      <c r="H2" s="1"/>
      <c r="I2" s="1"/>
    </row>
    <row r="4" spans="2:16" ht="45" x14ac:dyDescent="0.25">
      <c r="B4" s="3" t="s">
        <v>2</v>
      </c>
      <c r="C4" s="3" t="s">
        <v>4</v>
      </c>
      <c r="D4" s="3" t="s">
        <v>1</v>
      </c>
      <c r="E4" s="3"/>
      <c r="F4" s="3" t="s">
        <v>13</v>
      </c>
      <c r="G4" s="3"/>
      <c r="H4" s="3" t="s">
        <v>12</v>
      </c>
      <c r="I4" s="3"/>
      <c r="J4" s="7" t="s">
        <v>16</v>
      </c>
      <c r="K4" s="3"/>
      <c r="L4" s="3" t="s">
        <v>8</v>
      </c>
      <c r="M4" s="3"/>
      <c r="N4" s="3" t="s">
        <v>6</v>
      </c>
      <c r="O4" s="3"/>
      <c r="P4" s="3" t="s">
        <v>7</v>
      </c>
    </row>
    <row r="5" spans="2:16" x14ac:dyDescent="0.25">
      <c r="B5" s="2">
        <v>240</v>
      </c>
      <c r="C5" s="2" t="s">
        <v>5</v>
      </c>
      <c r="D5" s="2" t="s">
        <v>3</v>
      </c>
      <c r="F5" s="5">
        <f>H5/B5</f>
        <v>0.5617977528089888</v>
      </c>
      <c r="H5" s="6">
        <f>P5/J5</f>
        <v>134.83146067415731</v>
      </c>
      <c r="J5" s="2">
        <v>0.89</v>
      </c>
      <c r="L5" s="2">
        <v>24</v>
      </c>
      <c r="N5" s="2">
        <v>5</v>
      </c>
      <c r="P5" s="4">
        <f>L5*N5</f>
        <v>120</v>
      </c>
    </row>
    <row r="7" spans="2:16" x14ac:dyDescent="0.25">
      <c r="B7" s="2">
        <v>24</v>
      </c>
      <c r="C7" s="2" t="s">
        <v>9</v>
      </c>
      <c r="D7" s="2" t="s">
        <v>10</v>
      </c>
      <c r="F7" s="2">
        <v>0.1</v>
      </c>
      <c r="H7" s="4">
        <f>B7*F7</f>
        <v>2.4000000000000004</v>
      </c>
      <c r="J7" s="2" t="s">
        <v>11</v>
      </c>
    </row>
    <row r="8" spans="2:16" x14ac:dyDescent="0.25">
      <c r="B8" s="2">
        <v>24</v>
      </c>
      <c r="C8" s="2" t="s">
        <v>9</v>
      </c>
      <c r="D8" s="2" t="s">
        <v>14</v>
      </c>
      <c r="F8" s="2">
        <v>0.1</v>
      </c>
      <c r="H8" s="4">
        <f>B8*F8</f>
        <v>2.4000000000000004</v>
      </c>
    </row>
    <row r="9" spans="2:16" x14ac:dyDescent="0.25">
      <c r="B9" s="2">
        <v>24</v>
      </c>
      <c r="C9" s="2" t="s">
        <v>9</v>
      </c>
      <c r="D9" s="2" t="s">
        <v>15</v>
      </c>
      <c r="H9" s="4">
        <f>J9*P9</f>
        <v>31.150000000000002</v>
      </c>
      <c r="J9" s="2">
        <v>0.89</v>
      </c>
      <c r="L9" s="2">
        <v>10</v>
      </c>
      <c r="N9" s="2">
        <v>3.5</v>
      </c>
      <c r="P9" s="4">
        <f>N9*L9</f>
        <v>35</v>
      </c>
    </row>
    <row r="10" spans="2:16" x14ac:dyDescent="0.25">
      <c r="B10" s="2">
        <v>24</v>
      </c>
      <c r="C10" s="2" t="s">
        <v>9</v>
      </c>
      <c r="D10" s="2" t="s">
        <v>17</v>
      </c>
      <c r="H10" s="4">
        <f t="shared" ref="H10:H11" si="0">J10*P10</f>
        <v>12.25</v>
      </c>
      <c r="J10" s="2">
        <v>0.7</v>
      </c>
      <c r="L10" s="2">
        <v>5</v>
      </c>
      <c r="N10" s="2">
        <v>3.5</v>
      </c>
      <c r="P10" s="4">
        <f t="shared" ref="P10:P11" si="1">N10*L10</f>
        <v>17.5</v>
      </c>
    </row>
    <row r="11" spans="2:16" x14ac:dyDescent="0.25">
      <c r="B11" s="2">
        <v>24</v>
      </c>
      <c r="C11" s="2" t="s">
        <v>9</v>
      </c>
      <c r="D11" s="2" t="s">
        <v>18</v>
      </c>
      <c r="H11" s="4">
        <f t="shared" si="0"/>
        <v>1.9249999999999998</v>
      </c>
      <c r="J11" s="2">
        <v>0.7</v>
      </c>
      <c r="L11" s="2">
        <v>5</v>
      </c>
      <c r="N11" s="2">
        <v>0.55000000000000004</v>
      </c>
      <c r="P11" s="4">
        <f t="shared" si="1"/>
        <v>2.75</v>
      </c>
    </row>
    <row r="12" spans="2:16" x14ac:dyDescent="0.25">
      <c r="B12" s="2">
        <v>24</v>
      </c>
      <c r="C12" s="2" t="s">
        <v>9</v>
      </c>
      <c r="D12" s="2" t="s">
        <v>19</v>
      </c>
      <c r="F12" s="2">
        <v>1.0999999999999999E-2</v>
      </c>
      <c r="H12" s="4">
        <f>B12*F12</f>
        <v>0.26400000000000001</v>
      </c>
    </row>
    <row r="13" spans="2:16" x14ac:dyDescent="0.25">
      <c r="B13" s="2">
        <v>24</v>
      </c>
      <c r="C13" s="2" t="s">
        <v>9</v>
      </c>
      <c r="D13" s="2" t="s">
        <v>19</v>
      </c>
      <c r="F13" s="2">
        <v>1.0999999999999999E-2</v>
      </c>
      <c r="H13" s="4">
        <f t="shared" ref="H13:H14" si="2">B13*F13</f>
        <v>0.26400000000000001</v>
      </c>
    </row>
    <row r="14" spans="2:16" x14ac:dyDescent="0.25">
      <c r="B14" s="2">
        <v>24</v>
      </c>
      <c r="C14" s="2" t="s">
        <v>9</v>
      </c>
      <c r="D14" s="2" t="s">
        <v>19</v>
      </c>
      <c r="F14" s="2">
        <v>1.0999999999999999E-2</v>
      </c>
      <c r="H14" s="4">
        <f t="shared" si="2"/>
        <v>0.26400000000000001</v>
      </c>
    </row>
    <row r="15" spans="2:16" x14ac:dyDescent="0.25">
      <c r="B15" s="2">
        <v>24</v>
      </c>
      <c r="C15" s="2" t="s">
        <v>9</v>
      </c>
      <c r="D15" s="2" t="s">
        <v>20</v>
      </c>
      <c r="H15" s="2">
        <v>0.7</v>
      </c>
    </row>
    <row r="16" spans="2:16" x14ac:dyDescent="0.25">
      <c r="B16" s="2">
        <v>24</v>
      </c>
      <c r="C16" s="2" t="s">
        <v>9</v>
      </c>
      <c r="D16" s="2" t="s">
        <v>20</v>
      </c>
      <c r="H16" s="2">
        <v>0.7</v>
      </c>
    </row>
    <row r="17" spans="2:8" x14ac:dyDescent="0.25">
      <c r="B17" s="2">
        <v>24</v>
      </c>
      <c r="C17" s="2" t="s">
        <v>9</v>
      </c>
      <c r="D17" s="2" t="s">
        <v>21</v>
      </c>
      <c r="F17" s="2">
        <v>0.02</v>
      </c>
      <c r="H17" s="4">
        <f>F17*B17</f>
        <v>0.48</v>
      </c>
    </row>
    <row r="18" spans="2:8" x14ac:dyDescent="0.25">
      <c r="B18" s="2">
        <v>24</v>
      </c>
      <c r="C18" s="2" t="s">
        <v>9</v>
      </c>
      <c r="D18" s="2" t="s">
        <v>21</v>
      </c>
      <c r="F18" s="2">
        <v>0.02</v>
      </c>
      <c r="H18" s="4">
        <f t="shared" ref="H18:H21" si="3">F18*B18</f>
        <v>0.48</v>
      </c>
    </row>
    <row r="19" spans="2:8" x14ac:dyDescent="0.25">
      <c r="B19" s="2">
        <v>24</v>
      </c>
      <c r="C19" s="2" t="s">
        <v>9</v>
      </c>
      <c r="D19" s="2" t="s">
        <v>21</v>
      </c>
      <c r="F19" s="2">
        <v>0.02</v>
      </c>
      <c r="H19" s="4">
        <f t="shared" si="3"/>
        <v>0.48</v>
      </c>
    </row>
    <row r="20" spans="2:8" x14ac:dyDescent="0.25">
      <c r="B20" s="2">
        <v>24</v>
      </c>
      <c r="C20" s="2" t="s">
        <v>9</v>
      </c>
      <c r="D20" s="2" t="s">
        <v>21</v>
      </c>
      <c r="F20" s="2">
        <v>0.02</v>
      </c>
      <c r="H20" s="4">
        <f t="shared" si="3"/>
        <v>0.48</v>
      </c>
    </row>
    <row r="21" spans="2:8" x14ac:dyDescent="0.25">
      <c r="B21" s="2">
        <v>24</v>
      </c>
      <c r="C21" s="2" t="s">
        <v>9</v>
      </c>
      <c r="D21" s="2" t="s">
        <v>21</v>
      </c>
      <c r="F21" s="2">
        <v>0.02</v>
      </c>
      <c r="H21" s="4">
        <f t="shared" si="3"/>
        <v>0.48</v>
      </c>
    </row>
    <row r="23" spans="2:8" x14ac:dyDescent="0.25">
      <c r="F23" s="2" t="s">
        <v>22</v>
      </c>
      <c r="H23" s="2">
        <f>SUM(H7:H21)</f>
        <v>54.716999999999999</v>
      </c>
    </row>
  </sheetData>
  <mergeCells count="1">
    <mergeCell ref="D1:I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Imogen</dc:creator>
  <cp:lastModifiedBy>HEARD Imogen</cp:lastModifiedBy>
  <dcterms:created xsi:type="dcterms:W3CDTF">2024-03-15T09:33:04Z</dcterms:created>
  <dcterms:modified xsi:type="dcterms:W3CDTF">2024-03-15T10:50:13Z</dcterms:modified>
</cp:coreProperties>
</file>